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t/Library/Mobile Documents/com~apple~CloudDocs/_ETML/Modules/ICT-122/Projet/"/>
    </mc:Choice>
  </mc:AlternateContent>
  <xr:revisionPtr revIDLastSave="26" documentId="13_ncr:1_{17707879-1C5A-2845-83FC-CD6DDBDA2746}" xr6:coauthVersionLast="47" xr6:coauthVersionMax="47" xr10:uidLastSave="{ABC32816-35B1-4B26-B32A-C98597E24CF7}"/>
  <bookViews>
    <workbookView xWindow="0" yWindow="1980" windowWidth="33600" windowHeight="18160" firstSheet="2" activeTab="1" xr2:uid="{6CC57B32-2488-5244-B7A6-FB7E808234AC}"/>
  </bookViews>
  <sheets>
    <sheet name="Plannification" sheetId="2" r:id="rId1"/>
    <sheet name="Journal de travail" sheetId="1" r:id="rId2"/>
    <sheet name="Initiale VS Effective" sheetId="4" r:id="rId3"/>
  </sheets>
  <definedNames>
    <definedName name="_xlnm._FilterDatabase" localSheetId="1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<sst xmlns="http://schemas.openxmlformats.org/spreadsheetml/2006/main" count="48" uniqueCount="37">
  <si>
    <t>Total heures TPI</t>
  </si>
  <si>
    <t>heures</t>
  </si>
  <si>
    <t>Plannification Effective</t>
  </si>
  <si>
    <t>Plannification Initiale</t>
  </si>
  <si>
    <t>Heures</t>
  </si>
  <si>
    <t>Minutes</t>
  </si>
  <si>
    <t xml:space="preserve">Total </t>
  </si>
  <si>
    <t>Type d'activité</t>
  </si>
  <si>
    <t>Total heures</t>
  </si>
  <si>
    <t>en %</t>
  </si>
  <si>
    <t>Absent</t>
  </si>
  <si>
    <t>Total</t>
  </si>
  <si>
    <t>Journal de travail</t>
  </si>
  <si>
    <t>Auteur:</t>
  </si>
  <si>
    <t>Nom Prénom</t>
  </si>
  <si>
    <t>Projet:</t>
  </si>
  <si>
    <t>P_Script 122</t>
  </si>
  <si>
    <t>Temps total:</t>
  </si>
  <si>
    <t>Date:</t>
  </si>
  <si>
    <t>03.04.2025 au 27.05.2025</t>
  </si>
  <si>
    <t>Temps</t>
  </si>
  <si>
    <t>Semaine</t>
  </si>
  <si>
    <t>Jour</t>
  </si>
  <si>
    <t xml:space="preserve">h.      </t>
  </si>
  <si>
    <t>min.</t>
  </si>
  <si>
    <t>Type</t>
  </si>
  <si>
    <t>Description</t>
  </si>
  <si>
    <t>Remarques/problèmes</t>
  </si>
  <si>
    <t>Documentation</t>
  </si>
  <si>
    <t>Présentation des objectifs et attentes de l'enseignant</t>
  </si>
  <si>
    <t>Recherche d'informations pour le squelette du jeu</t>
  </si>
  <si>
    <t>Analyse</t>
  </si>
  <si>
    <t>Création d'une maquette sur Figma</t>
  </si>
  <si>
    <t>Implémentation</t>
  </si>
  <si>
    <t>Création d'un repo Git et chargement des fichiers demandés</t>
  </si>
  <si>
    <t>Test</t>
  </si>
  <si>
    <t>Rédaction du journal de travail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</si>
</sst>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7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6" fillId="13" borderId="2" xfId="0" applyNumberFormat="1" applyFont="1" applyFill="1" applyBorder="1"/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877-BF46-A280-9AE4DAD157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0.2</c:v>
                </c:pt>
                <c:pt idx="1">
                  <c:v>0.5</c:v>
                </c:pt>
                <c:pt idx="2">
                  <c:v>0.1</c:v>
                </c:pt>
                <c:pt idx="3">
                  <c:v>0.2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dLbl>
              <c:idx val="4"/>
              <c:layout>
                <c:manualLayout>
                  <c:x val="-3.183571491795857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A4-1D44-BA94-80D9B5CA27D4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5"/>
                <c:pt idx="0">
                  <c:v>0.2</c:v>
                </c:pt>
                <c:pt idx="1">
                  <c:v>0.5</c:v>
                </c:pt>
                <c:pt idx="2">
                  <c:v>0.1</c:v>
                </c:pt>
                <c:pt idx="3">
                  <c:v>0.2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4"/>
              <c:layout>
                <c:manualLayout>
                  <c:x val="3.4031281464024517E-2"/>
                  <c:y val="-3.088793290531091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A4-1D44-BA94-80D9B5CA27D4}"/>
                </c:ext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8" tableBorderDxfId="7">
  <autoFilter ref="A6:G532" xr:uid="{F2213DF1-F6B1-174C-AC17-4E96BE96C00D}"/>
  <tableColumns count="7">
    <tableColumn id="1" xr3:uid="{315BA4B4-9BD9-AB4E-8D40-FABFA0BB2AEA}" name="Semaine" dataDxfId="6">
      <calculatedColumnFormula>IF(ISBLANK(B7),"",_xlfn.ISOWEEKNUM('Journal de travail'!$B7))</calculatedColumnFormula>
    </tableColumn>
    <tableColumn id="2" xr3:uid="{503C31E9-854D-BF42-85AC-8DFA1376C4D8}" name="Jour" dataDxfId="5"/>
    <tableColumn id="3" xr3:uid="{B35A0B98-71A0-BA4F-BFAB-00A05EA1F23A}" name="h.      " dataDxfId="4"/>
    <tableColumn id="4" xr3:uid="{BE4D837D-FC99-BA48-A82F-B8C8E4CE5BF8}" name="min." dataDxfId="3"/>
    <tableColumn id="5" xr3:uid="{A2DCC539-6D2A-B04A-BF8E-6FACE6268D1F}" name="Type" dataDxfId="2"/>
    <tableColumn id="6" xr3:uid="{4EA406B9-7EF7-D547-AF98-5AD11BE168E9}" name="Description" dataDxfId="1"/>
    <tableColumn id="7" xr3:uid="{1735360B-2647-6D42-A0E3-3425EE302FFD}" name="Remarques/problèm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1" workbookViewId="0">
      <selection activeCell="J10" sqref="J10"/>
    </sheetView>
  </sheetViews>
  <sheetFormatPr defaultColWidth="11" defaultRowHeight="18.95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>
      <c r="E2" s="66" t="s">
        <v>0</v>
      </c>
      <c r="F2" s="68">
        <v>88</v>
      </c>
      <c r="G2" s="66" t="s">
        <v>1</v>
      </c>
      <c r="L2" s="18"/>
      <c r="M2" s="44"/>
      <c r="N2" s="18"/>
    </row>
    <row r="3" spans="1:14">
      <c r="L3" s="19"/>
      <c r="M3" s="20"/>
      <c r="N3" s="19"/>
    </row>
    <row r="4" spans="1:14" ht="21">
      <c r="E4" s="66" t="s">
        <v>2</v>
      </c>
      <c r="L4" s="66" t="s">
        <v>3</v>
      </c>
      <c r="M4" s="41"/>
      <c r="N4" s="19"/>
    </row>
    <row r="5" spans="1:14">
      <c r="A5" t="s">
        <v>4</v>
      </c>
      <c r="B5" t="s">
        <v>5</v>
      </c>
      <c r="C5" s="41" t="s">
        <v>6</v>
      </c>
      <c r="D5" s="42"/>
      <c r="E5" s="45" t="s">
        <v>7</v>
      </c>
      <c r="F5" s="46" t="s">
        <v>8</v>
      </c>
      <c r="G5" s="47" t="s">
        <v>9</v>
      </c>
      <c r="L5" s="48" t="s">
        <v>7</v>
      </c>
      <c r="M5" s="49" t="s">
        <v>8</v>
      </c>
      <c r="N5" s="50" t="s">
        <v>9</v>
      </c>
    </row>
    <row r="6" spans="1:14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0</v>
      </c>
      <c r="C6">
        <f t="shared" ref="C6:C10" si="0">SUM(A6:B6)</f>
        <v>0</v>
      </c>
      <c r="E6" s="70" t="str">
        <f>'Journal de travail'!M8</f>
        <v>Analyse</v>
      </c>
      <c r="F6" s="71" t="str">
        <f>QUOTIENT(SUM(A6:B6),60)&amp;" h "&amp;TEXT(MOD(SUM(A6:B6),60), "00")&amp;" min"</f>
        <v>0 h 00 min</v>
      </c>
      <c r="G6" s="72">
        <f>SUM(A6:B6)/$C$11</f>
        <v>0</v>
      </c>
      <c r="L6" s="51" t="str">
        <f>'Journal de travail'!M8</f>
        <v>Analyse</v>
      </c>
      <c r="M6" s="52" t="str">
        <f>INT($F$2*N6)&amp;" h "&amp;TEXT(ROUND(MOD($F$2*N6,1)*60,0),"00")&amp;" m"</f>
        <v>17 h 36 m</v>
      </c>
      <c r="N6" s="58">
        <v>0.2</v>
      </c>
    </row>
    <row r="7" spans="1:14">
      <c r="A7">
        <f>SUMIF('Journal de travail'!$E$7:$E$532,Plannification!E7,'Journal de travail'!$C$7:$C$532)*60</f>
        <v>0</v>
      </c>
      <c r="B7">
        <f>SUMIF('Journal de travail'!$E$7:$E$532,Plannification!E7,'Journal de travail'!$D$7:$D$532)</f>
        <v>0</v>
      </c>
      <c r="C7">
        <f t="shared" si="0"/>
        <v>0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0 h 00 min</v>
      </c>
      <c r="G7" s="75">
        <f t="shared" ref="G7:G9" si="2">SUM(A7:B7)/$C$11</f>
        <v>0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44 h 00 m</v>
      </c>
      <c r="N7" s="59">
        <v>0.5</v>
      </c>
    </row>
    <row r="8" spans="1:14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76" t="str">
        <f>'Journal de travail'!M10</f>
        <v>Test</v>
      </c>
      <c r="F8" s="71" t="str">
        <f t="shared" si="1"/>
        <v>0 h 00 min</v>
      </c>
      <c r="G8" s="72">
        <f t="shared" si="2"/>
        <v>0</v>
      </c>
      <c r="L8" s="54" t="str">
        <f>'Journal de travail'!M10</f>
        <v>Test</v>
      </c>
      <c r="M8" s="52" t="str">
        <f t="shared" si="3"/>
        <v>8 h 48 m</v>
      </c>
      <c r="N8" s="58">
        <v>0.1</v>
      </c>
    </row>
    <row r="9" spans="1:14">
      <c r="A9">
        <f>SUMIF('Journal de travail'!$E$7:$E$532,Plannification!E9,'Journal de travail'!$C$7:$C$532)*60</f>
        <v>60</v>
      </c>
      <c r="B9">
        <f>SUMIF('Journal de travail'!$E$7:$E$532,Plannification!E9,'Journal de travail'!$D$7:$D$532)</f>
        <v>125</v>
      </c>
      <c r="C9">
        <f t="shared" si="0"/>
        <v>185</v>
      </c>
      <c r="E9" s="77" t="str">
        <f>'Journal de travail'!M11</f>
        <v>Documentation</v>
      </c>
      <c r="F9" s="74" t="str">
        <f t="shared" si="1"/>
        <v>3 h 05 min</v>
      </c>
      <c r="G9" s="75">
        <f t="shared" si="2"/>
        <v>1</v>
      </c>
      <c r="L9" s="55" t="str">
        <f>'Journal de travail'!M11</f>
        <v>Documentation</v>
      </c>
      <c r="M9" s="52" t="str">
        <f t="shared" si="3"/>
        <v>17 h 36 m</v>
      </c>
      <c r="N9" s="59">
        <v>0.2</v>
      </c>
    </row>
    <row r="10" spans="1:14">
      <c r="A10">
        <f>SUMIF('Journal de travail'!$E$7:$E$532,Plannification!E10,'Journal de travail'!$C$7:$C$532)*60</f>
        <v>0</v>
      </c>
      <c r="B10">
        <f>SUMIF('Journal de travail'!$E$7:$E$532,Plannification!E10,'Journal de travail'!$D$7:$D$532)</f>
        <v>0</v>
      </c>
      <c r="C10">
        <f t="shared" si="0"/>
        <v>0</v>
      </c>
      <c r="E10" s="78" t="s">
        <v>10</v>
      </c>
      <c r="F10" s="79" t="str">
        <f t="shared" ref="F10" si="4">QUOTIENT(SUM(A10:B10),60)&amp;" h "&amp;TEXT(MOD(SUM(A10:B10),60), "00")&amp;" min"</f>
        <v>0 h 00 min</v>
      </c>
      <c r="G10" s="80">
        <f>SUM(A10:B10)/$C$11</f>
        <v>0</v>
      </c>
      <c r="L10" s="69" t="s">
        <v>10</v>
      </c>
      <c r="M10" s="52" t="str">
        <f t="shared" si="3"/>
        <v>0 h 00 m</v>
      </c>
      <c r="N10" s="83">
        <v>0</v>
      </c>
    </row>
    <row r="11" spans="1:14">
      <c r="A11">
        <f>SUM(A6:A10)</f>
        <v>60</v>
      </c>
      <c r="B11">
        <f>SUM(B6:B10)</f>
        <v>125</v>
      </c>
      <c r="C11">
        <f>SUM(A11:B11)</f>
        <v>185</v>
      </c>
      <c r="E11" s="81" t="s">
        <v>11</v>
      </c>
      <c r="F11" s="71" t="str">
        <f t="shared" si="1"/>
        <v>3 h 05 min</v>
      </c>
      <c r="G11" s="82">
        <f>C11/C12</f>
        <v>3.5037878787878785E-2</v>
      </c>
      <c r="L11" s="56" t="s">
        <v>11</v>
      </c>
      <c r="M11" s="57"/>
      <c r="N11" s="60">
        <f>SUM(N6:N10)</f>
        <v>1</v>
      </c>
    </row>
    <row r="12" spans="1:14">
      <c r="C12">
        <f>F2*60</f>
        <v>5280</v>
      </c>
    </row>
    <row r="13" spans="1:14">
      <c r="F13" s="43"/>
    </row>
  </sheetData>
  <sheetProtection algorithmName="SHA-512" hashValue="5aGPoTqGmkyjsdpSMN178N1WBFC1VMTKFkm66m+6Yog7xX7DUJiACAUjm3QdOBaqrz5f2f7Cd0Udr+YLoex+Rw==" saltValue="y9meuOEPmAMrI+vrG0x/lA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="120" zoomScaleNormal="120" workbookViewId="0">
      <pane ySplit="6" topLeftCell="A7" activePane="bottomLeft" state="frozen"/>
      <selection pane="bottomLeft" activeCell="F12" sqref="F12"/>
    </sheetView>
  </sheetViews>
  <sheetFormatPr defaultColWidth="11" defaultRowHeight="15.9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4">
      <c r="A1" s="8"/>
      <c r="B1" s="9"/>
      <c r="C1" s="10"/>
      <c r="D1" s="10"/>
      <c r="E1" s="11"/>
      <c r="F1" s="12" t="s">
        <v>12</v>
      </c>
      <c r="G1" s="11"/>
    </row>
    <row r="2" spans="1:15" ht="24">
      <c r="A2" s="86" t="s">
        <v>13</v>
      </c>
      <c r="B2" s="86"/>
      <c r="C2" s="84" t="s">
        <v>14</v>
      </c>
      <c r="D2" s="84"/>
      <c r="E2" s="84"/>
      <c r="F2" s="5" t="s">
        <v>15</v>
      </c>
      <c r="G2" s="64" t="s">
        <v>16</v>
      </c>
    </row>
    <row r="3" spans="1:15" ht="24">
      <c r="A3" s="86" t="s">
        <v>17</v>
      </c>
      <c r="B3" s="86"/>
      <c r="C3" s="67" t="str">
        <f>QUOTIENT(E4,60)&amp;" heures "&amp;MOD(E4,60)&amp;" minutes"</f>
        <v>3 heures 5 minutes</v>
      </c>
      <c r="D3" s="17"/>
      <c r="E3" s="3"/>
      <c r="F3" s="4" t="s">
        <v>18</v>
      </c>
      <c r="G3" s="65" t="s">
        <v>19</v>
      </c>
    </row>
    <row r="4" spans="1:15" ht="24" hidden="1">
      <c r="B4" s="5"/>
      <c r="C4" s="17">
        <f>SUBTOTAL(9,$C$7:$C$531)*60</f>
        <v>60</v>
      </c>
      <c r="D4" s="17">
        <f>SUBTOTAL(9,$D$7:$D$531)</f>
        <v>125</v>
      </c>
      <c r="E4" s="24">
        <f>SUM(C4:D4)</f>
        <v>185</v>
      </c>
      <c r="F4" s="4"/>
      <c r="G4" s="6"/>
    </row>
    <row r="5" spans="1:15">
      <c r="C5" s="85" t="s">
        <v>20</v>
      </c>
      <c r="D5" s="85"/>
    </row>
    <row r="6" spans="1:15" s="15" customFormat="1" ht="20.100000000000001" customHeight="1">
      <c r="A6" s="13" t="s">
        <v>21</v>
      </c>
      <c r="B6" s="21" t="s">
        <v>22</v>
      </c>
      <c r="C6" s="25" t="s">
        <v>23</v>
      </c>
      <c r="D6" s="16" t="s">
        <v>24</v>
      </c>
      <c r="E6" s="14" t="s">
        <v>25</v>
      </c>
      <c r="F6" s="14" t="s">
        <v>26</v>
      </c>
      <c r="G6" s="14" t="s">
        <v>27</v>
      </c>
    </row>
    <row r="7" spans="1:15" ht="16.5">
      <c r="A7" s="61">
        <f>IF(ISBLANK(B7),"",_xlfn.ISOWEEKNUM('Journal de travail'!$B7))</f>
        <v>35</v>
      </c>
      <c r="B7" s="26">
        <v>45896</v>
      </c>
      <c r="C7" s="27">
        <v>1</v>
      </c>
      <c r="D7" s="28">
        <v>30</v>
      </c>
      <c r="E7" s="29" t="s">
        <v>28</v>
      </c>
      <c r="F7" s="23" t="s">
        <v>29</v>
      </c>
      <c r="G7" s="38"/>
    </row>
    <row r="8" spans="1:15" ht="16.5">
      <c r="A8" s="62">
        <f>IF(ISBLANK(B8),"",_xlfn.ISOWEEKNUM('Journal de travail'!$B8))</f>
        <v>35</v>
      </c>
      <c r="B8" s="30">
        <v>45896</v>
      </c>
      <c r="C8" s="31"/>
      <c r="D8" s="32">
        <v>40</v>
      </c>
      <c r="E8" s="33" t="s">
        <v>28</v>
      </c>
      <c r="F8" s="23" t="s">
        <v>30</v>
      </c>
      <c r="G8" s="39"/>
      <c r="M8" t="s">
        <v>31</v>
      </c>
      <c r="N8">
        <v>1</v>
      </c>
      <c r="O8">
        <v>0</v>
      </c>
    </row>
    <row r="9" spans="1:15" ht="16.5">
      <c r="A9" s="63">
        <f>IF(ISBLANK(B9),"",_xlfn.ISOWEEKNUM('Journal de travail'!$B9))</f>
        <v>35</v>
      </c>
      <c r="B9" s="34">
        <v>45896</v>
      </c>
      <c r="C9" s="35"/>
      <c r="D9" s="36">
        <v>30</v>
      </c>
      <c r="E9" s="37" t="s">
        <v>28</v>
      </c>
      <c r="F9" s="23" t="s">
        <v>32</v>
      </c>
      <c r="G9" s="40"/>
      <c r="M9" t="s">
        <v>33</v>
      </c>
      <c r="N9">
        <v>2</v>
      </c>
      <c r="O9">
        <v>5</v>
      </c>
    </row>
    <row r="10" spans="1:15" ht="16.5">
      <c r="A10" s="62">
        <f>IF(ISBLANK(B10),"",_xlfn.ISOWEEKNUM('Journal de travail'!$B10))</f>
        <v>35</v>
      </c>
      <c r="B10" s="30">
        <v>45896</v>
      </c>
      <c r="C10" s="31"/>
      <c r="D10" s="32">
        <v>20</v>
      </c>
      <c r="E10" s="33" t="s">
        <v>28</v>
      </c>
      <c r="F10" s="23" t="s">
        <v>34</v>
      </c>
      <c r="G10" s="39"/>
      <c r="M10" t="s">
        <v>35</v>
      </c>
      <c r="N10">
        <v>3</v>
      </c>
      <c r="O10">
        <v>10</v>
      </c>
    </row>
    <row r="11" spans="1:15" ht="16.5">
      <c r="A11" s="63">
        <f>IF(ISBLANK(B11),"",_xlfn.ISOWEEKNUM('Journal de travail'!$B11))</f>
        <v>35</v>
      </c>
      <c r="B11" s="34">
        <v>45896</v>
      </c>
      <c r="C11" s="35"/>
      <c r="D11" s="36">
        <v>5</v>
      </c>
      <c r="E11" s="37" t="s">
        <v>28</v>
      </c>
      <c r="F11" s="23" t="s">
        <v>36</v>
      </c>
      <c r="G11" s="40"/>
      <c r="M11" t="s">
        <v>28</v>
      </c>
      <c r="N11">
        <v>4</v>
      </c>
      <c r="O11">
        <v>15</v>
      </c>
    </row>
    <row r="12" spans="1:15" ht="15.75">
      <c r="A12" s="62" t="str">
        <f>IF(ISBLANK(B12),"",_xlfn.ISOWEEKNUM('Journal de travail'!$B12))</f>
        <v/>
      </c>
      <c r="B12" s="30"/>
      <c r="C12" s="31"/>
      <c r="D12" s="32"/>
      <c r="E12" s="33"/>
      <c r="F12" s="23"/>
      <c r="G12" s="39"/>
      <c r="M12" t="s">
        <v>10</v>
      </c>
      <c r="N12">
        <v>5</v>
      </c>
      <c r="O12">
        <v>20</v>
      </c>
    </row>
    <row r="13" spans="1:15">
      <c r="A13" s="63" t="str">
        <f>IF(ISBLANK(B13),"",_xlfn.ISOWEEKNUM('Journal de travail'!$B13))</f>
        <v/>
      </c>
      <c r="B13" s="34"/>
      <c r="C13" s="35"/>
      <c r="D13" s="36"/>
      <c r="E13" s="37"/>
      <c r="F13" s="23"/>
      <c r="G13" s="40"/>
      <c r="N13">
        <v>6</v>
      </c>
      <c r="O13">
        <v>25</v>
      </c>
    </row>
    <row r="14" spans="1:15">
      <c r="A14" s="62" t="str">
        <f>IF(ISBLANK(B14),"",_xlfn.ISOWEEKNUM('Journal de travail'!$B14))</f>
        <v/>
      </c>
      <c r="B14" s="30"/>
      <c r="C14" s="31"/>
      <c r="D14" s="32"/>
      <c r="E14" s="33"/>
      <c r="F14" s="23"/>
      <c r="G14" s="39"/>
      <c r="N14">
        <v>7</v>
      </c>
      <c r="O14">
        <v>30</v>
      </c>
    </row>
    <row r="15" spans="1:15">
      <c r="A15" s="63" t="str">
        <f>IF(ISBLANK(B15),"",_xlfn.ISOWEEKNUM('Journal de travail'!$B15))</f>
        <v/>
      </c>
      <c r="B15" s="34"/>
      <c r="C15" s="35"/>
      <c r="D15" s="36"/>
      <c r="E15" s="37"/>
      <c r="F15" s="23"/>
      <c r="G15" s="40"/>
      <c r="N15">
        <v>8</v>
      </c>
      <c r="O15">
        <v>35</v>
      </c>
    </row>
    <row r="16" spans="1:15">
      <c r="A16" s="62" t="str">
        <f>IF(ISBLANK(B16),"",_xlfn.ISOWEEKNUM('Journal de travail'!$B16))</f>
        <v/>
      </c>
      <c r="B16" s="30"/>
      <c r="C16" s="31"/>
      <c r="D16" s="32"/>
      <c r="E16" s="33"/>
      <c r="F16" s="23"/>
      <c r="G16" s="39"/>
      <c r="O16">
        <v>40</v>
      </c>
    </row>
    <row r="17" spans="1:15">
      <c r="A17" s="63" t="str">
        <f>IF(ISBLANK(B17),"",_xlfn.ISOWEEKNUM('Journal de travail'!$B17))</f>
        <v/>
      </c>
      <c r="B17" s="34"/>
      <c r="C17" s="35"/>
      <c r="D17" s="36"/>
      <c r="E17" s="37"/>
      <c r="F17" s="23"/>
      <c r="G17" s="40"/>
      <c r="O17">
        <v>45</v>
      </c>
    </row>
    <row r="18" spans="1:15">
      <c r="A18" s="62" t="str">
        <f>IF(ISBLANK(B18),"",_xlfn.ISOWEEKNUM('Journal de travail'!$B18))</f>
        <v/>
      </c>
      <c r="B18" s="30"/>
      <c r="C18" s="31"/>
      <c r="D18" s="32"/>
      <c r="E18" s="33"/>
      <c r="F18" s="23"/>
      <c r="G18" s="39"/>
      <c r="O18">
        <v>50</v>
      </c>
    </row>
    <row r="19" spans="1:15">
      <c r="A19" s="63" t="str">
        <f>IF(ISBLANK(B19),"",_xlfn.ISOWEEKNUM('Journal de travail'!$B19))</f>
        <v/>
      </c>
      <c r="B19" s="34"/>
      <c r="C19" s="35"/>
      <c r="D19" s="36"/>
      <c r="E19" s="37"/>
      <c r="F19" s="23"/>
      <c r="G19" s="40"/>
      <c r="O19">
        <v>55</v>
      </c>
    </row>
    <row r="20" spans="1:15">
      <c r="A20" s="62" t="str">
        <f>IF(ISBLANK(B20),"",_xlfn.ISOWEEKNUM('Journal de travail'!$B20))</f>
        <v/>
      </c>
      <c r="B20" s="30"/>
      <c r="C20" s="31"/>
      <c r="D20" s="32"/>
      <c r="E20" s="33"/>
      <c r="F20" s="23"/>
      <c r="G20" s="39"/>
    </row>
    <row r="21" spans="1:15">
      <c r="A21" s="63" t="str">
        <f>IF(ISBLANK(B21),"",_xlfn.ISOWEEKNUM('Journal de travail'!$B21))</f>
        <v/>
      </c>
      <c r="B21" s="34"/>
      <c r="C21" s="35"/>
      <c r="D21" s="36"/>
      <c r="E21" s="37"/>
      <c r="F21" s="23"/>
      <c r="G21" s="40"/>
    </row>
    <row r="22" spans="1:15">
      <c r="A22" s="62" t="str">
        <f>IF(ISBLANK(B22),"",_xlfn.ISOWEEKNUM('Journal de travail'!$B22))</f>
        <v/>
      </c>
      <c r="B22" s="30"/>
      <c r="C22" s="31"/>
      <c r="D22" s="32"/>
      <c r="E22" s="33"/>
      <c r="F22" s="23"/>
      <c r="G22" s="39"/>
    </row>
    <row r="23" spans="1:15">
      <c r="A23" s="63" t="str">
        <f>IF(ISBLANK(B23),"",_xlfn.ISOWEEKNUM('Journal de travail'!$B23))</f>
        <v/>
      </c>
      <c r="B23" s="34"/>
      <c r="C23" s="35"/>
      <c r="D23" s="36"/>
      <c r="E23" s="37"/>
      <c r="F23" s="23"/>
      <c r="G23" s="40"/>
    </row>
    <row r="24" spans="1:15">
      <c r="A24" s="62" t="str">
        <f>IF(ISBLANK(B24),"",_xlfn.ISOWEEKNUM('Journal de travail'!$B24))</f>
        <v/>
      </c>
      <c r="B24" s="30"/>
      <c r="C24" s="31"/>
      <c r="D24" s="32"/>
      <c r="E24" s="33"/>
      <c r="F24" s="23"/>
      <c r="G24" s="39"/>
    </row>
    <row r="25" spans="1:15">
      <c r="A25" s="63" t="str">
        <f>IF(ISBLANK(B25),"",_xlfn.ISOWEEKNUM('Journal de travail'!$B25))</f>
        <v/>
      </c>
      <c r="B25" s="34"/>
      <c r="C25" s="35"/>
      <c r="D25" s="36"/>
      <c r="E25" s="37"/>
      <c r="F25" s="23"/>
      <c r="G25" s="40"/>
    </row>
    <row r="26" spans="1:15">
      <c r="A26" s="62" t="str">
        <f>IF(ISBLANK(B26),"",_xlfn.ISOWEEKNUM('Journal de travail'!$B26))</f>
        <v/>
      </c>
      <c r="B26" s="30"/>
      <c r="C26" s="31"/>
      <c r="D26" s="32"/>
      <c r="E26" s="33"/>
      <c r="F26" s="23"/>
      <c r="G26" s="39"/>
    </row>
    <row r="27" spans="1:15">
      <c r="A27" s="63" t="str">
        <f>IF(ISBLANK(B27),"",_xlfn.ISOWEEKNUM('Journal de travail'!$B27))</f>
        <v/>
      </c>
      <c r="B27" s="34"/>
      <c r="C27" s="35"/>
      <c r="D27" s="36"/>
      <c r="E27" s="37"/>
      <c r="F27" s="23"/>
      <c r="G27" s="40"/>
    </row>
    <row r="28" spans="1:15">
      <c r="A28" s="62" t="str">
        <f>IF(ISBLANK(B28),"",_xlfn.ISOWEEKNUM('Journal de travail'!$B28))</f>
        <v/>
      </c>
      <c r="B28" s="30"/>
      <c r="C28" s="31"/>
      <c r="D28" s="32"/>
      <c r="E28" s="33"/>
      <c r="F28" s="22"/>
      <c r="G28" s="39"/>
    </row>
    <row r="29" spans="1:15">
      <c r="A29" s="63" t="str">
        <f>IF(ISBLANK(B29),"",_xlfn.ISOWEEKNUM('Journal de travail'!$B29))</f>
        <v/>
      </c>
      <c r="B29" s="34"/>
      <c r="C29" s="35"/>
      <c r="D29" s="36"/>
      <c r="E29" s="37"/>
      <c r="F29" s="22"/>
      <c r="G29" s="40"/>
    </row>
    <row r="30" spans="1:15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>
      <c r="A31" s="63" t="str">
        <f>IF(ISBLANK(B31),"",_xlfn.ISOWEEKNUM('Journal de travail'!$B31))</f>
        <v/>
      </c>
      <c r="B31" s="34"/>
      <c r="C31" s="35"/>
      <c r="D31" s="36"/>
      <c r="E31" s="37"/>
      <c r="F31" s="22"/>
      <c r="G31" s="40"/>
    </row>
    <row r="32" spans="1:15">
      <c r="A32" s="62" t="str">
        <f>IF(ISBLANK(B32),"",_xlfn.ISOWEEKNUM('Journal de travail'!$B32))</f>
        <v/>
      </c>
      <c r="B32" s="30"/>
      <c r="C32" s="31"/>
      <c r="D32" s="32"/>
      <c r="E32" s="33"/>
      <c r="F32" s="23"/>
      <c r="G32" s="39"/>
    </row>
    <row r="33" spans="1:7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17" priority="1">
      <formula>$E7="Absent"</formula>
    </cfRule>
    <cfRule type="expression" dxfId="16" priority="2">
      <formula>$E7="Autre"</formula>
    </cfRule>
    <cfRule type="expression" dxfId="15" priority="3" stopIfTrue="1">
      <formula>$E7="Design"</formula>
    </cfRule>
    <cfRule type="expression" dxfId="14" priority="4" stopIfTrue="1">
      <formula>$E7="Présentation"</formula>
    </cfRule>
    <cfRule type="expression" dxfId="13" priority="5" stopIfTrue="1">
      <formula>$E7="Meeting"</formula>
    </cfRule>
    <cfRule type="expression" dxfId="12" priority="6" stopIfTrue="1">
      <formula>$E7="Documentation"</formula>
    </cfRule>
    <cfRule type="expression" dxfId="11" priority="7" stopIfTrue="1">
      <formula>$E7="Test"</formula>
    </cfRule>
    <cfRule type="expression" dxfId="10" priority="8" stopIfTrue="1">
      <formula>$E7="Analyse"</formula>
    </cfRule>
    <cfRule type="expression" dxfId="9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defaultColWidth="11" defaultRowHeight="15.9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3" ma:contentTypeDescription="Crée un document." ma:contentTypeScope="" ma:versionID="39308526d31e0f5bef64698d14f1b266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7401f7cfb0df224986f329258800e141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RepoGi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RepoGit" ma:index="20" nillable="true" ma:displayName="Repo Git" ma:format="Hyperlink" ma:internalName="RepoGi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122ad8c-5190-4425-a719-d58822eb8fe7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  <RepoGit xmlns="b5cf4370-ac38-4b9e-9836-ef6f5df64f24">
      <Url xsi:nil="true"/>
      <Description xsi:nil="true"/>
    </RepoGit>
  </documentManagement>
</p:properties>
</file>

<file path=customXml/itemProps1.xml><?xml version="1.0" encoding="utf-8"?>
<ds:datastoreItem xmlns:ds="http://schemas.openxmlformats.org/officeDocument/2006/customXml" ds:itemID="{74326215-CB02-4E95-BFFB-9EC625B1BF0F}"/>
</file>

<file path=customXml/itemProps2.xml><?xml version="1.0" encoding="utf-8"?>
<ds:datastoreItem xmlns:ds="http://schemas.openxmlformats.org/officeDocument/2006/customXml" ds:itemID="{9F1D23F3-F56E-4C80-B41F-B7C7721D12AB}"/>
</file>

<file path=customXml/itemProps3.xml><?xml version="1.0" encoding="utf-8"?>
<ds:datastoreItem xmlns:ds="http://schemas.openxmlformats.org/officeDocument/2006/customXml" ds:itemID="{0453EC0E-0298-408B-815C-A1500DB4F5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Snehan Gnanassorian</cp:lastModifiedBy>
  <cp:revision/>
  <dcterms:created xsi:type="dcterms:W3CDTF">2023-11-21T20:00:34Z</dcterms:created>
  <dcterms:modified xsi:type="dcterms:W3CDTF">2025-08-27T14:24:56Z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