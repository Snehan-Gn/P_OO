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t/Library/Mobile Documents/com~apple~CloudDocs/_ETML/Modules/ICT-122/Projet/"/>
    </mc:Choice>
  </mc:AlternateContent>
  <xr:revisionPtr revIDLastSave="41" documentId="13_ncr:1_{17707879-1C5A-2845-83FC-CD6DDBDA2746}" xr6:coauthVersionLast="47" xr6:coauthVersionMax="47" xr10:uidLastSave="{818C6BFE-4932-1E4B-A324-D028EB11391D}"/>
  <bookViews>
    <workbookView xWindow="0" yWindow="1980" windowWidth="33600" windowHeight="18160" firstSheet="2" activeTab="1" xr2:uid="{6CC57B32-2488-5244-B7A6-FB7E808234AC}"/>
  </bookViews>
  <sheets>
    <sheet name="Plannification" sheetId="2" r:id="rId1"/>
    <sheet name="Journal de travail" sheetId="1" r:id="rId2"/>
    <sheet name="Initiale VS Effective" sheetId="4" r:id="rId3"/>
  </sheets>
  <definedNames>
    <definedName name="_xlnm._FilterDatabase" localSheetId="1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/>
  <c r="F10" i="2"/>
  <c r="C4" i="1"/>
  <c r="E7" i="2"/>
  <c r="A7" i="2"/>
  <c r="E8" i="2"/>
  <c r="A8" i="2"/>
  <c r="E9" i="2"/>
  <c r="A9" i="2"/>
  <c r="E6" i="2"/>
  <c r="B6" i="2"/>
  <c r="E4" i="1"/>
  <c r="C3" i="1"/>
  <c r="B8" i="2"/>
  <c r="F8" i="2"/>
  <c r="B7" i="2"/>
  <c r="F7" i="2"/>
  <c r="A6" i="2"/>
  <c r="B9" i="2"/>
  <c r="F9" i="2"/>
  <c r="B11" i="2"/>
  <c r="A11" i="2"/>
  <c r="F6" i="2"/>
  <c r="C6" i="2"/>
  <c r="C7" i="2"/>
  <c r="C8" i="2"/>
  <c r="C9" i="2"/>
  <c r="C11" i="2"/>
  <c r="G10" i="2"/>
  <c r="F11" i="2"/>
  <c r="G6" i="2"/>
  <c r="G11" i="2"/>
  <c r="G9" i="2"/>
  <c r="G7" i="2"/>
  <c r="G8" i="2"/>
</calcChain>
</file>

<file path=xl/sharedStrings.xml><?xml version="1.0" encoding="utf-8"?>
<sst xmlns="http://schemas.openxmlformats.org/spreadsheetml/2006/main" count="54" uniqueCount="39">
  <si>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</si>
  <si>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</si>
  <si>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</si>
  <si>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</si>
  <si>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</si>
  <si>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</si>
  <si>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</si>
  <si>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</si>
  <si>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</si>
  <si>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</si>
  <si>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Absent</t>
  </si>
  <si>
    <t>Total</t>
  </si>
  <si>
    <t>Journal de travail</t>
  </si>
  <si>
    <t>Auteur:</t>
  </si>
  <si>
    <t>Nom Prénom</t>
  </si>
  <si>
    <t>Projet:</t>
  </si>
  <si>
    <t>P_Script 122</t>
  </si>
  <si>
    <t>Temps total:</t>
  </si>
  <si>
    <t>Date:</t>
  </si>
  <si>
    <t>03.04.2025 au 27.05.2025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</si>
  <si>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</si>
  <si>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</si>
  <si>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</si>
  <si>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</si>
  <si>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</si>
  <si>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</si>
  <si>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</si>
  <si>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</si>
  <si>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Documentation</t>
  </si>
  <si>
    <t>Présentation des objectifs et attentes de l'enseignant</t>
  </si>
  <si>
    <t>Recherche d'informations pour le squelette du jeu</t>
  </si>
  <si>
    <t>Analyse</t>
  </si>
  <si>
    <t>Création d'une maquette sur Figma</t>
  </si>
  <si>
    <t>Implémentation</t>
  </si>
  <si>
    <t>Création d'un repo Git et chargement des fichiers demandés</t>
  </si>
  <si>
    <t>Test</t>
  </si>
  <si>
    <t>Rédaction du journal de travail</t>
  </si>
  <si>
    <t>Recherche et rédaction des User Stories sur Github Project</t>
  </si>
  <si>
    <t>Rédaction de l'introduction et de la planification du rapport Word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</si>
</sst>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 /><Relationship Id="rId3" Type="http://schemas.openxmlformats.org/officeDocument/2006/relationships/worksheet" Target="worksheets/sheet3.xml" /><Relationship Id="rId7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haredStrings" Target="sharedStrings.xml" /><Relationship Id="rId5" Type="http://schemas.openxmlformats.org/officeDocument/2006/relationships/styles" Target="styles.xml" /><Relationship Id="rId10" Type="http://schemas.openxmlformats.org/officeDocument/2006/relationships/customXml" Target="../customXml/item3.xml" /><Relationship Id="rId4" Type="http://schemas.openxmlformats.org/officeDocument/2006/relationships/theme" Target="theme/theme1.xml" /><Relationship Id="rId9" Type="http://schemas.openxmlformats.org/officeDocument/2006/relationships/customXml" Target="../customXml/item2.xml" 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 /><Relationship Id="rId1" Type="http://schemas.microsoft.com/office/2011/relationships/chartStyle" Target="style1.xml" 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 /><Relationship Id="rId1" Type="http://schemas.microsoft.com/office/2011/relationships/chartStyle" Target="style2.xml" 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 /><Relationship Id="rId1" Type="http://schemas.microsoft.com/office/2011/relationships/chartStyle" Target="style3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120</c:v>
                </c:pt>
                <c:pt idx="1">
                  <c:v>0</c:v>
                </c:pt>
                <c:pt idx="2">
                  <c:v>0</c:v>
                </c:pt>
                <c:pt idx="3">
                  <c:v>245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0.2</c:v>
                </c:pt>
                <c:pt idx="1">
                  <c:v>0.5</c:v>
                </c:pt>
                <c:pt idx="2">
                  <c:v>0.1</c:v>
                </c:pt>
                <c:pt idx="3">
                  <c:v>0.2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0.2</c:v>
                </c:pt>
                <c:pt idx="1">
                  <c:v>0.5</c:v>
                </c:pt>
                <c:pt idx="2">
                  <c:v>0.1</c:v>
                </c:pt>
                <c:pt idx="3">
                  <c:v>0.2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0.32876712328767121</c:v>
                </c:pt>
                <c:pt idx="1">
                  <c:v>0</c:v>
                </c:pt>
                <c:pt idx="2">
                  <c:v>0</c:v>
                </c:pt>
                <c:pt idx="3">
                  <c:v>0.67123287671232879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 /><Relationship Id="rId1" Type="http://schemas.openxmlformats.org/officeDocument/2006/relationships/chart" Target="../charts/chart1.xml" 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 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 /><Relationship Id="rId1" Type="http://schemas.openxmlformats.org/officeDocument/2006/relationships/printerSettings" Target="../printerSettings/printerSettings1.bin" 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workbookViewId="0">
      <selection activeCell="J10" sqref="J10"/>
    </sheetView>
  </sheetViews>
  <sheetFormatPr defaultColWidth="10.97265625" defaultRowHeight="18.75" x14ac:dyDescent="0.25"/>
  <cols>
    <col min="1" max="3" width="10.8515625" hidden="1" customWidth="1"/>
    <col min="4" max="4" width="10.8515625" customWidth="1"/>
    <col min="5" max="5" width="20.9609375" style="19" bestFit="1" customWidth="1"/>
    <col min="6" max="6" width="13.4375" style="41" bestFit="1" customWidth="1"/>
    <col min="7" max="7" width="11.9609375" bestFit="1" customWidth="1"/>
    <col min="12" max="12" width="21.94921875" bestFit="1" customWidth="1"/>
    <col min="13" max="13" width="12.82421875" bestFit="1" customWidth="1"/>
    <col min="14" max="14" width="9.37109375" bestFit="1" customWidth="1"/>
  </cols>
  <sheetData>
    <row r="2" spans="1:14" ht="21" x14ac:dyDescent="0.3">
      <c r="E2" s="66" t="s">
        <v>0</v>
      </c>
      <c r="F2" s="68">
        <v>88</v>
      </c>
      <c r="G2" s="66" t="s">
        <v>1</v>
      </c>
      <c r="L2" s="18"/>
      <c r="M2" s="44"/>
      <c r="N2" s="18"/>
    </row>
    <row r="3" spans="1:14" x14ac:dyDescent="0.25">
      <c r="L3" s="19"/>
      <c r="M3" s="20"/>
      <c r="N3" s="19"/>
    </row>
    <row r="4" spans="1:14" ht="21" x14ac:dyDescent="0.3">
      <c r="E4" s="66" t="s">
        <v>2</v>
      </c>
      <c r="L4" s="66" t="s">
        <v>3</v>
      </c>
      <c r="M4" s="41"/>
      <c r="N4" s="19"/>
    </row>
    <row r="5" spans="1:14" x14ac:dyDescent="0.25">
      <c r="A5" t="s">
        <v>4</v>
      </c>
      <c r="B5" t="s">
        <v>5</v>
      </c>
      <c r="C5" s="41" t="s">
        <v>6</v>
      </c>
      <c r="D5" s="42"/>
      <c r="E5" s="45" t="s">
        <v>7</v>
      </c>
      <c r="F5" s="46" t="s">
        <v>8</v>
      </c>
      <c r="G5" s="47" t="s">
        <v>9</v>
      </c>
      <c r="L5" s="48" t="s">
        <v>7</v>
      </c>
      <c r="M5" s="49" t="s">
        <v>8</v>
      </c>
      <c r="N5" s="50" t="s">
        <v>9</v>
      </c>
    </row>
    <row r="6" spans="1:14" x14ac:dyDescent="0.25">
      <c r="A6">
        <f>SUMIF('Journal de travail'!$E$7:$E$532,Plannification!E6,'Journal de travail'!$C$7:$C$532)*60</f>
        <v>120</v>
      </c>
      <c r="B6">
        <f>SUMIF('Journal de travail'!$E$7:$E$532,Plannification!E6,'Journal de travail'!$D$7:$D$532)</f>
        <v>0</v>
      </c>
      <c r="C6">
        <f t="shared" ref="C6:C10" si="0">SUM(A6:B6)</f>
        <v>120</v>
      </c>
      <c r="E6" s="70" t="str">
        <f>'Journal de travail'!M8</f>
        <v>Analyse</v>
      </c>
      <c r="F6" s="71" t="str">
        <f>QUOTIENT(SUM(A6:B6),60)&amp;" h "&amp;TEXT(MOD(SUM(A6:B6),60), "00")&amp;" min"</f>
        <v>2 h 00 min</v>
      </c>
      <c r="G6" s="72">
        <f>SUM(A6:B6)/$C$11</f>
        <v>0.32876712328767121</v>
      </c>
      <c r="L6" s="51" t="str">
        <f>'Journal de travail'!M8</f>
        <v>Analyse</v>
      </c>
      <c r="M6" s="52" t="str">
        <f>INT($F$2*N6)&amp;" h "&amp;TEXT(ROUND(MOD($F$2*N6,1)*60,0),"00")&amp;" m"</f>
        <v>17 h 36 m</v>
      </c>
      <c r="N6" s="58">
        <v>0.2</v>
      </c>
    </row>
    <row r="7" spans="1:14" x14ac:dyDescent="0.25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0</v>
      </c>
      <c r="C7">
        <f t="shared" si="0"/>
        <v>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0 h 00 min</v>
      </c>
      <c r="G7" s="75">
        <f t="shared" ref="G7:G9" si="2">SUM(A7:B7)/$C$11</f>
        <v>0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44 h 00 m</v>
      </c>
      <c r="N7" s="59">
        <v>0.5</v>
      </c>
    </row>
    <row r="8" spans="1:14" x14ac:dyDescent="0.25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8 h 48 m</v>
      </c>
      <c r="N8" s="58">
        <v>0.1</v>
      </c>
    </row>
    <row r="9" spans="1:14" x14ac:dyDescent="0.25">
      <c r="A9">
        <f>SUMIF('Journal de travail'!$E$7:$E$532,Plannification!E9,'Journal de travail'!$C$7:$C$532)*60</f>
        <v>60</v>
      </c>
      <c r="B9">
        <f>SUMIF('Journal de travail'!$E$7:$E$532,Plannification!E9,'Journal de travail'!$D$7:$D$532)</f>
        <v>185</v>
      </c>
      <c r="C9">
        <f t="shared" si="0"/>
        <v>245</v>
      </c>
      <c r="E9" s="77" t="str">
        <f>'Journal de travail'!M11</f>
        <v>Documentation</v>
      </c>
      <c r="F9" s="74" t="str">
        <f t="shared" si="1"/>
        <v>4 h 05 min</v>
      </c>
      <c r="G9" s="75">
        <f t="shared" si="2"/>
        <v>0.67123287671232879</v>
      </c>
      <c r="L9" s="55" t="str">
        <f>'Journal de travail'!M11</f>
        <v>Documentation</v>
      </c>
      <c r="M9" s="52" t="str">
        <f t="shared" si="3"/>
        <v>17 h 36 m</v>
      </c>
      <c r="N9" s="59">
        <v>0.2</v>
      </c>
    </row>
    <row r="10" spans="1:14" x14ac:dyDescent="0.25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10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10</v>
      </c>
      <c r="M10" s="52" t="str">
        <f t="shared" si="3"/>
        <v>0 h 00 m</v>
      </c>
      <c r="N10" s="83">
        <v>0</v>
      </c>
    </row>
    <row r="11" spans="1:14" x14ac:dyDescent="0.25">
      <c r="A11">
        <f>SUM(A6:A10)</f>
        <v>180</v>
      </c>
      <c r="B11">
        <f>SUM(B6:B10)</f>
        <v>185</v>
      </c>
      <c r="C11">
        <f>SUM(A11:B11)</f>
        <v>365</v>
      </c>
      <c r="E11" s="81" t="s">
        <v>11</v>
      </c>
      <c r="F11" s="71" t="str">
        <f t="shared" si="1"/>
        <v>6 h 05 min</v>
      </c>
      <c r="G11" s="82">
        <f>C11/C12</f>
        <v>6.9128787878787873E-2</v>
      </c>
      <c r="L11" s="56" t="s">
        <v>11</v>
      </c>
      <c r="M11" s="57"/>
      <c r="N11" s="60">
        <f>SUM(N6:N10)</f>
        <v>1</v>
      </c>
    </row>
    <row r="12" spans="1:14" x14ac:dyDescent="0.25">
      <c r="C12">
        <f>F2*60</f>
        <v>5280</v>
      </c>
    </row>
    <row r="13" spans="1:14" x14ac:dyDescent="0.25">
      <c r="F13" s="43"/>
    </row>
  </sheetData>
  <sheetProtection algorithmName="SHA-512" hashValue="5aGPoTqGmkyjsdpSMN178N1WBFC1VMTKFkm66m+6Yog7xX7DUJiACAUjm3QdOBaqrz5f2f7Cd0Udr+YLoex+Rw==" saltValue="y9meuOEPmAMrI+vrG0x/lA==" spinCount="100000" sheet="1" objects="1" scenarios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120" zoomScaleNormal="120" workbookViewId="0">
      <pane ySplit="6" topLeftCell="A7" activePane="bottomLeft" state="frozen"/>
      <selection pane="bottomLeft" activeCell="F15" sqref="F15"/>
    </sheetView>
  </sheetViews>
  <sheetFormatPr defaultColWidth="10.97265625" defaultRowHeight="15" x14ac:dyDescent="0.2"/>
  <cols>
    <col min="1" max="1" width="14.55078125" style="7" bestFit="1" customWidth="1"/>
    <col min="2" max="2" width="11.8359375" style="1" customWidth="1"/>
    <col min="3" max="3" width="12.08203125" style="2" bestFit="1" customWidth="1"/>
    <col min="4" max="4" width="10.48046875" style="2" bestFit="1" customWidth="1"/>
    <col min="5" max="5" width="14.1796875" bestFit="1" customWidth="1"/>
    <col min="6" max="6" width="83.48046875" customWidth="1"/>
    <col min="7" max="7" width="72.13671875" customWidth="1"/>
    <col min="10" max="10" width="7.1484375" bestFit="1" customWidth="1"/>
    <col min="11" max="11" width="13.80859375" bestFit="1" customWidth="1"/>
    <col min="12" max="12" width="4.06640625" bestFit="1" customWidth="1"/>
    <col min="13" max="13" width="14.42578125" hidden="1" customWidth="1"/>
    <col min="14" max="14" width="4.5625" hidden="1" customWidth="1"/>
    <col min="15" max="15" width="7.64453125" hidden="1" customWidth="1"/>
  </cols>
  <sheetData>
    <row r="1" spans="1:15" ht="23.25" x14ac:dyDescent="0.3">
      <c r="A1" s="8"/>
      <c r="B1" s="9"/>
      <c r="C1" s="10"/>
      <c r="D1" s="10"/>
      <c r="E1" s="11"/>
      <c r="F1" s="12" t="s">
        <v>12</v>
      </c>
      <c r="G1" s="11"/>
    </row>
    <row r="2" spans="1:15" ht="23.25" x14ac:dyDescent="0.3">
      <c r="A2" s="86" t="s">
        <v>13</v>
      </c>
      <c r="B2" s="86"/>
      <c r="C2" s="84" t="s">
        <v>14</v>
      </c>
      <c r="D2" s="84"/>
      <c r="E2" s="84"/>
      <c r="F2" s="5" t="s">
        <v>15</v>
      </c>
      <c r="G2" s="64" t="s">
        <v>16</v>
      </c>
    </row>
    <row r="3" spans="1:15" ht="23.25" x14ac:dyDescent="0.3">
      <c r="A3" s="86" t="s">
        <v>17</v>
      </c>
      <c r="B3" s="86"/>
      <c r="C3" s="67" t="str">
        <f>QUOTIENT(E4,60)&amp;" heures "&amp;MOD(E4,60)&amp;" minutes"</f>
        <v>6 heures 5 minutes</v>
      </c>
      <c r="D3" s="17"/>
      <c r="E3" s="3"/>
      <c r="F3" s="4" t="s">
        <v>18</v>
      </c>
      <c r="G3" s="65" t="s">
        <v>19</v>
      </c>
    </row>
    <row r="4" spans="1:15" ht="23.25" hidden="1" x14ac:dyDescent="0.3">
      <c r="B4" s="5"/>
      <c r="C4" s="17">
        <f>SUBTOTAL(9,$C$7:$C$531)*60</f>
        <v>180</v>
      </c>
      <c r="D4" s="17">
        <f>SUBTOTAL(9,$D$7:$D$531)</f>
        <v>185</v>
      </c>
      <c r="E4" s="24">
        <f>SUM(C4:D4)</f>
        <v>365</v>
      </c>
      <c r="F4" s="4"/>
      <c r="G4" s="6"/>
    </row>
    <row r="5" spans="1:15" x14ac:dyDescent="0.2">
      <c r="C5" s="85" t="s">
        <v>20</v>
      </c>
      <c r="D5" s="85"/>
    </row>
    <row r="6" spans="1:15" s="15" customFormat="1" ht="20.100000000000001" customHeight="1" x14ac:dyDescent="0.25">
      <c r="A6" s="13" t="s">
        <v>21</v>
      </c>
      <c r="B6" s="21" t="s">
        <v>22</v>
      </c>
      <c r="C6" s="25" t="s">
        <v>23</v>
      </c>
      <c r="D6" s="16" t="s">
        <v>24</v>
      </c>
      <c r="E6" s="14" t="s">
        <v>25</v>
      </c>
      <c r="F6" s="14" t="s">
        <v>26</v>
      </c>
      <c r="G6" s="14" t="s">
        <v>27</v>
      </c>
    </row>
    <row r="7" spans="1:15" ht="15.75" x14ac:dyDescent="0.2">
      <c r="A7" s="61">
        <f>IF(ISBLANK(B7),"",_xlfn.ISOWEEKNUM('Journal de travail'!$B7))</f>
        <v>35</v>
      </c>
      <c r="B7" s="26">
        <v>45896</v>
      </c>
      <c r="C7" s="27">
        <v>1</v>
      </c>
      <c r="D7" s="28">
        <v>30</v>
      </c>
      <c r="E7" s="29" t="s">
        <v>28</v>
      </c>
      <c r="F7" s="23" t="s">
        <v>29</v>
      </c>
      <c r="G7" s="38"/>
    </row>
    <row r="8" spans="1:15" ht="15.75" x14ac:dyDescent="0.2">
      <c r="A8" s="62">
        <f>IF(ISBLANK(B8),"",_xlfn.ISOWEEKNUM('Journal de travail'!$B8))</f>
        <v>35</v>
      </c>
      <c r="B8" s="30">
        <v>45896</v>
      </c>
      <c r="C8" s="31"/>
      <c r="D8" s="32">
        <v>40</v>
      </c>
      <c r="E8" s="33" t="s">
        <v>28</v>
      </c>
      <c r="F8" s="23" t="s">
        <v>30</v>
      </c>
      <c r="G8" s="39"/>
      <c r="M8" t="s">
        <v>31</v>
      </c>
      <c r="N8">
        <v>1</v>
      </c>
      <c r="O8">
        <v>0</v>
      </c>
    </row>
    <row r="9" spans="1:15" ht="15.75" x14ac:dyDescent="0.2">
      <c r="A9" s="63">
        <f>IF(ISBLANK(B9),"",_xlfn.ISOWEEKNUM('Journal de travail'!$B9))</f>
        <v>35</v>
      </c>
      <c r="B9" s="34">
        <v>45896</v>
      </c>
      <c r="C9" s="35"/>
      <c r="D9" s="36">
        <v>30</v>
      </c>
      <c r="E9" s="37" t="s">
        <v>28</v>
      </c>
      <c r="F9" s="23" t="s">
        <v>32</v>
      </c>
      <c r="G9" s="40"/>
      <c r="M9" t="s">
        <v>33</v>
      </c>
      <c r="N9">
        <v>2</v>
      </c>
      <c r="O9">
        <v>5</v>
      </c>
    </row>
    <row r="10" spans="1:15" ht="15.75" x14ac:dyDescent="0.2">
      <c r="A10" s="62">
        <f>IF(ISBLANK(B10),"",_xlfn.ISOWEEKNUM('Journal de travail'!$B10))</f>
        <v>35</v>
      </c>
      <c r="B10" s="30">
        <v>45896</v>
      </c>
      <c r="C10" s="31"/>
      <c r="D10" s="32">
        <v>20</v>
      </c>
      <c r="E10" s="33" t="s">
        <v>28</v>
      </c>
      <c r="F10" s="23" t="s">
        <v>34</v>
      </c>
      <c r="G10" s="39"/>
      <c r="M10" t="s">
        <v>35</v>
      </c>
      <c r="N10">
        <v>3</v>
      </c>
      <c r="O10">
        <v>10</v>
      </c>
    </row>
    <row r="11" spans="1:15" ht="15.75" x14ac:dyDescent="0.2">
      <c r="A11" s="63">
        <f>IF(ISBLANK(B11),"",_xlfn.ISOWEEKNUM('Journal de travail'!$B11))</f>
        <v>35</v>
      </c>
      <c r="B11" s="34">
        <v>45896</v>
      </c>
      <c r="C11" s="35"/>
      <c r="D11" s="36">
        <v>5</v>
      </c>
      <c r="E11" s="37" t="s">
        <v>28</v>
      </c>
      <c r="F11" s="23" t="s">
        <v>36</v>
      </c>
      <c r="G11" s="40"/>
      <c r="M11" t="s">
        <v>28</v>
      </c>
      <c r="N11">
        <v>4</v>
      </c>
      <c r="O11">
        <v>15</v>
      </c>
    </row>
    <row r="12" spans="1:15" ht="15.75" x14ac:dyDescent="0.2">
      <c r="A12" s="62">
        <f>IF(ISBLANK(B12),"",_xlfn.ISOWEEKNUM('Journal de travail'!$B12))</f>
        <v>36</v>
      </c>
      <c r="B12" s="30">
        <v>45903</v>
      </c>
      <c r="C12" s="31">
        <v>2</v>
      </c>
      <c r="D12" s="32">
        <v>0</v>
      </c>
      <c r="E12" s="33" t="s">
        <v>31</v>
      </c>
      <c r="F12" s="23" t="s">
        <v>37</v>
      </c>
      <c r="G12" s="39"/>
      <c r="M12" t="s">
        <v>10</v>
      </c>
      <c r="N12">
        <v>5</v>
      </c>
      <c r="O12">
        <v>20</v>
      </c>
    </row>
    <row r="13" spans="1:15" ht="15.75" x14ac:dyDescent="0.2">
      <c r="A13" s="63">
        <f>IF(ISBLANK(B13),"",_xlfn.ISOWEEKNUM('Journal de travail'!$B13))</f>
        <v>36</v>
      </c>
      <c r="B13" s="34">
        <v>45903</v>
      </c>
      <c r="C13" s="35"/>
      <c r="D13" s="36">
        <v>50</v>
      </c>
      <c r="E13" s="37" t="s">
        <v>28</v>
      </c>
      <c r="F13" s="23" t="s">
        <v>38</v>
      </c>
      <c r="G13" s="40"/>
      <c r="N13">
        <v>6</v>
      </c>
      <c r="O13">
        <v>25</v>
      </c>
    </row>
    <row r="14" spans="1:15" ht="15.75" x14ac:dyDescent="0.2">
      <c r="A14" s="62">
        <f>IF(ISBLANK(B14),"",_xlfn.ISOWEEKNUM('Journal de travail'!$B14))</f>
        <v>36</v>
      </c>
      <c r="B14" s="30">
        <v>45903</v>
      </c>
      <c r="C14" s="31"/>
      <c r="D14" s="32">
        <v>10</v>
      </c>
      <c r="E14" s="33" t="s">
        <v>28</v>
      </c>
      <c r="F14" s="23" t="s">
        <v>36</v>
      </c>
      <c r="G14" s="39"/>
      <c r="N14">
        <v>7</v>
      </c>
      <c r="O14">
        <v>30</v>
      </c>
    </row>
    <row r="15" spans="1:15" x14ac:dyDescent="0.2">
      <c r="A15" s="63" t="str">
        <f>IF(ISBLANK(B15),"",_xlfn.ISOWEEKNUM('Journal de travail'!$B15))</f>
        <v/>
      </c>
      <c r="B15" s="34"/>
      <c r="C15" s="35"/>
      <c r="D15" s="36"/>
      <c r="E15" s="37"/>
      <c r="F15" s="23"/>
      <c r="G15" s="40"/>
      <c r="N15">
        <v>8</v>
      </c>
      <c r="O15">
        <v>35</v>
      </c>
    </row>
    <row r="16" spans="1:15" x14ac:dyDescent="0.2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defaultColWidth="10.97265625" defaultRowHeight="15" x14ac:dyDescent="0.2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 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 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 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3" ma:contentTypeDescription="Crée un document." ma:contentTypeScope="" ma:versionID="39308526d31e0f5bef64698d14f1b266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7401f7cfb0df224986f329258800e14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RepoGi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RepoGit" ma:index="20" nillable="true" ma:displayName="Repo Git" ma:format="Hyperlink" ma:internalName="RepoGit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122ad8c-5190-4425-a719-d58822eb8fe7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  <RepoGit xmlns="b5cf4370-ac38-4b9e-9836-ef6f5df64f24">
      <Url xsi:nil="true"/>
      <Description xsi:nil="true"/>
    </RepoGit>
  </documentManagement>
</p:properties>
</file>

<file path=customXml/itemProps1.xml><?xml version="1.0" encoding="utf-8"?>
<ds:datastoreItem xmlns:ds="http://schemas.openxmlformats.org/officeDocument/2006/customXml" ds:itemID="{9F1D23F3-F56E-4C80-B41F-B7C7721D12A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5cf4370-ac38-4b9e-9836-ef6f5df64f24"/>
    <ds:schemaRef ds:uri="eefa3612-053e-497a-ae76-8a76877f5e22"/>
  </ds:schemaRefs>
</ds:datastoreItem>
</file>

<file path=customXml/itemProps2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www.w3.org/2000/xmlns/"/>
    <ds:schemaRef ds:uri="eefa3612-053e-497a-ae76-8a76877f5e22"/>
    <ds:schemaRef ds:uri="http://www.w3.org/2001/XMLSchema-instance"/>
    <ds:schemaRef ds:uri="b5cf4370-ac38-4b9e-9836-ef6f5df64f24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Plannification</vt:lpstr>
      <vt:lpstr>Journal de travail</vt:lpstr>
      <vt:lpstr>Initiale VS Effective</vt:lpstr>
      <vt:lpstr>Journal de travail!_FilterDatabase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Snehan Gnanassorian</cp:lastModifiedBy>
  <cp:revision/>
  <dcterms:created xsi:type="dcterms:W3CDTF">2023-11-21T20:00:34Z</dcterms:created>
  <dcterms:modified xsi:type="dcterms:W3CDTF">2025-08-27T14:44:52Z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